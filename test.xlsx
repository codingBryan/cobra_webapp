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cafina0-my.sharepoint.com/personal/bwr_sucafina_com/Documents/Desktop/base_repo/cobra_webapp/"/>
    </mc:Choice>
  </mc:AlternateContent>
  <xr:revisionPtr revIDLastSave="39" documentId="8_{428F5320-E244-422C-8939-1128C99942CF}" xr6:coauthVersionLast="47" xr6:coauthVersionMax="47" xr10:uidLastSave="{13CD967B-DEC9-4F2D-BD02-775CCE7E8D10}"/>
  <bookViews>
    <workbookView xWindow="28680" yWindow="-7065" windowWidth="16440" windowHeight="28320" xr2:uid="{46781DE3-3D21-453B-9049-328CE1231712}"/>
  </bookViews>
  <sheets>
    <sheet name="test" sheetId="1" r:id="rId1"/>
  </sheets>
  <definedNames>
    <definedName name="_xlnm._FilterDatabase" localSheetId="0" hidden="1">test!$A$1:$P$1</definedName>
  </definedNames>
  <calcPr calcId="0"/>
</workbook>
</file>

<file path=xl/calcChain.xml><?xml version="1.0" encoding="utf-8"?>
<calcChain xmlns="http://schemas.openxmlformats.org/spreadsheetml/2006/main">
  <c r="Q2" i="1" l="1"/>
  <c r="E49" i="1" a="1"/>
  <c r="E49" i="1"/>
  <c r="P4" i="1"/>
  <c r="J46" i="1"/>
  <c r="J44" i="1"/>
  <c r="P3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2" i="1"/>
  <c r="J4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<sst xmlns="http://schemas.openxmlformats.org/spreadsheetml/2006/main" count="236" uniqueCount="60">
  <si>
    <t>id</t>
  </si>
  <si>
    <t>process_id</t>
  </si>
  <si>
    <t>strategy</t>
  </si>
  <si>
    <t>batch_number</t>
  </si>
  <si>
    <t>input_qty</t>
  </si>
  <si>
    <t>output_qty</t>
  </si>
  <si>
    <t>processing_loss_gain_qty</t>
  </si>
  <si>
    <t>input_differential</t>
  </si>
  <si>
    <t>output_differential</t>
  </si>
  <si>
    <t>input_hedge_level_usc_lb</t>
  </si>
  <si>
    <t>output_hedge_level_usc_lb</t>
  </si>
  <si>
    <t>input_cost_usd_50</t>
  </si>
  <si>
    <t>output_cost_usd_50</t>
  </si>
  <si>
    <t>batch_status</t>
  </si>
  <si>
    <t>AB - FAQ</t>
  </si>
  <si>
    <t>CS-00080-AB</t>
  </si>
  <si>
    <t>NULL</t>
  </si>
  <si>
    <t>archived</t>
  </si>
  <si>
    <t>CS-00081-AB</t>
  </si>
  <si>
    <t>AB - PLUS</t>
  </si>
  <si>
    <t>CS-00082-AB</t>
  </si>
  <si>
    <t>CS-00083-AB</t>
  </si>
  <si>
    <t>CS-00084-AB</t>
  </si>
  <si>
    <t>AB - TOP</t>
  </si>
  <si>
    <t>CS-00112-AB</t>
  </si>
  <si>
    <t>CS-00117-AB</t>
  </si>
  <si>
    <t>CS-00119-AB</t>
  </si>
  <si>
    <t>CS-00120-AB</t>
  </si>
  <si>
    <t>CS-00121-AB</t>
  </si>
  <si>
    <t>CS-00122-AB</t>
  </si>
  <si>
    <t>CS-00123-AB</t>
  </si>
  <si>
    <t>CS-00524-AB</t>
  </si>
  <si>
    <t>PC-00007-AB</t>
  </si>
  <si>
    <t>ABC - FAQ</t>
  </si>
  <si>
    <t>CS-00086-C</t>
  </si>
  <si>
    <t>CS-00087-C</t>
  </si>
  <si>
    <t>CS-00088-C</t>
  </si>
  <si>
    <t>CS-00089-C</t>
  </si>
  <si>
    <t>PB - PLUS</t>
  </si>
  <si>
    <t>CS-00085-PB</t>
  </si>
  <si>
    <t>2023/2024-BB-SSGP-92266-8</t>
  </si>
  <si>
    <t>SPECIALTY - WASHED</t>
  </si>
  <si>
    <t>2023/2024-BB-SSGP-92266-9</t>
  </si>
  <si>
    <t>2023/2024-BB-SSGP-92513-2</t>
  </si>
  <si>
    <t>2023/2024-BB-SSGP-92513-3</t>
  </si>
  <si>
    <t>2023/2024-BB-SSGP-92560-5</t>
  </si>
  <si>
    <t>2023/2024-BB-SSGP-92560-6</t>
  </si>
  <si>
    <t>2023/2024-BB-SSGP-92560-7</t>
  </si>
  <si>
    <t>2023/2024-BB-SSGP-92810-1</t>
  </si>
  <si>
    <t>2023/2024-BB-SSGP-93171-6</t>
  </si>
  <si>
    <t>2023/2024-BB-SSGP-93171-9</t>
  </si>
  <si>
    <t>2023/2024-BB-SSGP-93530-1</t>
  </si>
  <si>
    <t>PB - TOP</t>
  </si>
  <si>
    <t>2023/2024-BB-SSGP-93530-3</t>
  </si>
  <si>
    <t>2023/2024-BB-SSKE-92602</t>
  </si>
  <si>
    <t>2024/2025-BB-SSGP-93097-10</t>
  </si>
  <si>
    <t>2024/2025-BB-SSGP-93770-2/SSGP-93732-4</t>
  </si>
  <si>
    <t>2024/2025-BB-SSKE-92185</t>
  </si>
  <si>
    <t>PC-00005-GT HEAVY</t>
  </si>
  <si>
    <t>BULK-00033-AB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</si>
</sst>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4" fontId="0" fillId="0" borderId="0" xfId="1" applyFont="1"/>
    <xf numFmtId="0" fontId="0" fillId="33" borderId="0" xfId="0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CC0BC-AB7D-4F33-BEA7-59EF1844CFF3}">
  <dimension ref="A1:Q49"/>
  <sheetViews>
    <sheetView tabSelected="1" topLeftCell="B1" workbookViewId="0">
      <selection activeCell="Q2" sqref="Q2"/>
    </sheetView>
  </sheetViews>
  <sheetFormatPr defaultRowHeight="15" x14ac:dyDescent="0.25"/>
  <cols>
    <col min="2" max="2" width="10.5703125" customWidth="1"/>
    <col min="3" max="3" width="19.140625" bestFit="1" customWidth="1"/>
    <col min="4" max="4" width="38.85546875" bestFit="1" customWidth="1"/>
    <col min="5" max="5" width="9" bestFit="1" customWidth="1"/>
    <col min="6" max="6" width="10.140625" bestFit="1" customWidth="1"/>
    <col min="7" max="7" width="23.85546875" bestFit="1" customWidth="1"/>
    <col min="8" max="8" width="15.85546875" customWidth="1"/>
    <col min="9" max="9" width="17.42578125" bestFit="1" customWidth="1"/>
    <col min="10" max="10" width="25.85546875" bestFit="1" customWidth="1"/>
    <col min="11" max="11" width="27" bestFit="1" customWidth="1"/>
    <col min="12" max="12" width="17.42578125" bestFit="1" customWidth="1"/>
    <col min="13" max="13" width="18.5703125" bestFit="1" customWidth="1"/>
    <col min="16" max="16" width="9.140625" style="2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>
        <v>1972</v>
      </c>
      <c r="B2">
        <v>309</v>
      </c>
      <c r="C2" t="s">
        <v>14</v>
      </c>
      <c r="D2" t="s">
        <v>15</v>
      </c>
      <c r="E2">
        <v>1721.9</v>
      </c>
      <c r="F2">
        <v>0</v>
      </c>
      <c r="G2">
        <v>3.14</v>
      </c>
      <c r="H2">
        <v>11.75</v>
      </c>
      <c r="I2" t="s">
        <v>16</v>
      </c>
      <c r="J2">
        <v>252.63</v>
      </c>
      <c r="K2" t="s">
        <v>16</v>
      </c>
      <c r="L2">
        <v>291.43</v>
      </c>
      <c r="M2" t="s">
        <v>16</v>
      </c>
      <c r="N2" t="s">
        <v>17</v>
      </c>
      <c r="P2" s="2">
        <f>L2*(E2/50)</f>
        <v>10036.26634</v>
      </c>
      <c r="Q2">
        <f>K47</f>
        <v>0</v>
      </c>
    </row>
    <row r="3" spans="1:17" x14ac:dyDescent="0.25">
      <c r="A3">
        <v>1973</v>
      </c>
      <c r="B3">
        <v>309</v>
      </c>
      <c r="C3" t="s">
        <v>14</v>
      </c>
      <c r="D3" t="s">
        <v>18</v>
      </c>
      <c r="E3">
        <v>2023.4</v>
      </c>
      <c r="F3">
        <v>0</v>
      </c>
      <c r="G3">
        <v>3.69</v>
      </c>
      <c r="H3">
        <v>14.9</v>
      </c>
      <c r="I3" t="s">
        <v>16</v>
      </c>
      <c r="J3">
        <v>264.10000000000002</v>
      </c>
      <c r="K3" t="s">
        <v>16</v>
      </c>
      <c r="L3">
        <v>307.54000000000002</v>
      </c>
      <c r="M3" t="s">
        <v>16</v>
      </c>
      <c r="N3" t="s">
        <v>17</v>
      </c>
      <c r="P3" s="2">
        <f t="shared" ref="P3:P37" si="0">L3*(E3/50)</f>
        <v>12445.528720000002</v>
      </c>
    </row>
    <row r="4" spans="1:17" x14ac:dyDescent="0.25">
      <c r="A4">
        <v>1974</v>
      </c>
      <c r="B4">
        <v>309</v>
      </c>
      <c r="C4" t="s">
        <v>19</v>
      </c>
      <c r="D4" t="s">
        <v>20</v>
      </c>
      <c r="E4">
        <v>3421.7</v>
      </c>
      <c r="F4">
        <v>0</v>
      </c>
      <c r="G4">
        <v>6.24</v>
      </c>
      <c r="H4">
        <v>6.36</v>
      </c>
      <c r="I4" t="s">
        <v>16</v>
      </c>
      <c r="J4">
        <v>262.8</v>
      </c>
      <c r="K4" t="s">
        <v>16</v>
      </c>
      <c r="L4">
        <v>296.69</v>
      </c>
      <c r="M4" t="s">
        <v>16</v>
      </c>
      <c r="N4" t="s">
        <v>17</v>
      </c>
      <c r="P4" s="2">
        <f>L4*(E4/50)</f>
        <v>20303.68346</v>
      </c>
    </row>
    <row r="5" spans="1:17" x14ac:dyDescent="0.25">
      <c r="A5">
        <v>1975</v>
      </c>
      <c r="B5">
        <v>309</v>
      </c>
      <c r="C5" t="s">
        <v>14</v>
      </c>
      <c r="D5" t="s">
        <v>21</v>
      </c>
      <c r="E5">
        <v>1738.9</v>
      </c>
      <c r="F5">
        <v>0</v>
      </c>
      <c r="G5">
        <v>3.17</v>
      </c>
      <c r="H5">
        <v>12.3</v>
      </c>
      <c r="I5" t="s">
        <v>16</v>
      </c>
      <c r="J5">
        <v>252.61</v>
      </c>
      <c r="K5" t="s">
        <v>16</v>
      </c>
      <c r="L5">
        <v>292.01</v>
      </c>
      <c r="M5" t="s">
        <v>16</v>
      </c>
      <c r="N5" t="s">
        <v>17</v>
      </c>
      <c r="P5" s="2">
        <f t="shared" si="0"/>
        <v>10155.52378</v>
      </c>
    </row>
    <row r="6" spans="1:17" x14ac:dyDescent="0.25">
      <c r="A6">
        <v>1976</v>
      </c>
      <c r="B6">
        <v>309</v>
      </c>
      <c r="C6" t="s">
        <v>19</v>
      </c>
      <c r="D6" t="s">
        <v>22</v>
      </c>
      <c r="E6">
        <v>1049.8</v>
      </c>
      <c r="F6">
        <v>0</v>
      </c>
      <c r="G6">
        <v>1.91</v>
      </c>
      <c r="H6">
        <v>-6.95</v>
      </c>
      <c r="I6" t="s">
        <v>16</v>
      </c>
      <c r="J6">
        <v>237.12</v>
      </c>
      <c r="K6" t="s">
        <v>16</v>
      </c>
      <c r="L6">
        <v>253.71</v>
      </c>
      <c r="M6" t="s">
        <v>16</v>
      </c>
      <c r="N6" t="s">
        <v>17</v>
      </c>
      <c r="P6" s="2">
        <f t="shared" si="0"/>
        <v>5326.89516</v>
      </c>
    </row>
    <row r="7" spans="1:17" x14ac:dyDescent="0.25">
      <c r="A7">
        <v>1977</v>
      </c>
      <c r="B7">
        <v>309</v>
      </c>
      <c r="C7" t="s">
        <v>23</v>
      </c>
      <c r="D7" t="s">
        <v>24</v>
      </c>
      <c r="E7">
        <v>15404.7</v>
      </c>
      <c r="F7">
        <v>0</v>
      </c>
      <c r="G7">
        <v>28.1</v>
      </c>
      <c r="H7">
        <v>18.149999999999999</v>
      </c>
      <c r="I7" t="s">
        <v>16</v>
      </c>
      <c r="J7">
        <v>343.67</v>
      </c>
      <c r="K7" t="s">
        <v>16</v>
      </c>
      <c r="L7">
        <v>398.83</v>
      </c>
      <c r="M7" t="s">
        <v>16</v>
      </c>
      <c r="N7" t="s">
        <v>17</v>
      </c>
      <c r="P7" s="2">
        <f t="shared" si="0"/>
        <v>122877.13002</v>
      </c>
    </row>
    <row r="8" spans="1:17" x14ac:dyDescent="0.25">
      <c r="A8">
        <v>1978</v>
      </c>
      <c r="B8">
        <v>309</v>
      </c>
      <c r="C8" t="s">
        <v>19</v>
      </c>
      <c r="D8" t="s">
        <v>25</v>
      </c>
      <c r="E8">
        <v>36128.199999999997</v>
      </c>
      <c r="F8">
        <v>0</v>
      </c>
      <c r="G8">
        <v>65.900000000000006</v>
      </c>
      <c r="H8">
        <v>35.17</v>
      </c>
      <c r="I8" t="s">
        <v>16</v>
      </c>
      <c r="J8">
        <v>321.3</v>
      </c>
      <c r="K8" t="s">
        <v>16</v>
      </c>
      <c r="L8">
        <v>392.94</v>
      </c>
      <c r="M8" t="s">
        <v>16</v>
      </c>
      <c r="N8" t="s">
        <v>17</v>
      </c>
      <c r="P8" s="2">
        <f t="shared" si="0"/>
        <v>283924.29816000001</v>
      </c>
    </row>
    <row r="9" spans="1:17" x14ac:dyDescent="0.25">
      <c r="A9">
        <v>1979</v>
      </c>
      <c r="B9">
        <v>309</v>
      </c>
      <c r="C9" t="s">
        <v>23</v>
      </c>
      <c r="D9" t="s">
        <v>26</v>
      </c>
      <c r="E9">
        <v>5963</v>
      </c>
      <c r="F9">
        <v>0</v>
      </c>
      <c r="G9">
        <v>10.88</v>
      </c>
      <c r="H9">
        <v>81.5</v>
      </c>
      <c r="I9" t="s">
        <v>16</v>
      </c>
      <c r="J9">
        <v>315.5</v>
      </c>
      <c r="K9" t="s">
        <v>16</v>
      </c>
      <c r="L9">
        <v>437.61</v>
      </c>
      <c r="M9" t="s">
        <v>16</v>
      </c>
      <c r="N9" t="s">
        <v>17</v>
      </c>
      <c r="P9" s="2">
        <f t="shared" si="0"/>
        <v>52189.368600000002</v>
      </c>
    </row>
    <row r="10" spans="1:17" x14ac:dyDescent="0.25">
      <c r="A10">
        <v>1980</v>
      </c>
      <c r="B10">
        <v>309</v>
      </c>
      <c r="C10" t="s">
        <v>23</v>
      </c>
      <c r="D10" t="s">
        <v>27</v>
      </c>
      <c r="E10">
        <v>1043.8</v>
      </c>
      <c r="F10">
        <v>0</v>
      </c>
      <c r="G10">
        <v>1.9</v>
      </c>
      <c r="H10">
        <v>91.36</v>
      </c>
      <c r="I10" t="s">
        <v>16</v>
      </c>
      <c r="J10">
        <v>300</v>
      </c>
      <c r="K10" t="s">
        <v>16</v>
      </c>
      <c r="L10">
        <v>431.4</v>
      </c>
      <c r="M10" t="s">
        <v>16</v>
      </c>
      <c r="N10" t="s">
        <v>17</v>
      </c>
      <c r="P10" s="2">
        <f t="shared" si="0"/>
        <v>9005.906399999998</v>
      </c>
    </row>
    <row r="11" spans="1:17" x14ac:dyDescent="0.25">
      <c r="A11">
        <v>1981</v>
      </c>
      <c r="B11">
        <v>309</v>
      </c>
      <c r="C11" t="s">
        <v>19</v>
      </c>
      <c r="D11" t="s">
        <v>28</v>
      </c>
      <c r="E11">
        <v>956.6</v>
      </c>
      <c r="F11">
        <v>0</v>
      </c>
      <c r="G11">
        <v>1.74</v>
      </c>
      <c r="H11">
        <v>-3.7</v>
      </c>
      <c r="I11" t="s">
        <v>16</v>
      </c>
      <c r="J11">
        <v>284.49</v>
      </c>
      <c r="K11" t="s">
        <v>16</v>
      </c>
      <c r="L11">
        <v>309.51</v>
      </c>
      <c r="M11" t="s">
        <v>16</v>
      </c>
      <c r="N11" t="s">
        <v>17</v>
      </c>
      <c r="P11" s="2">
        <f t="shared" si="0"/>
        <v>5921.5453200000002</v>
      </c>
    </row>
    <row r="12" spans="1:17" x14ac:dyDescent="0.25">
      <c r="A12">
        <v>1982</v>
      </c>
      <c r="B12">
        <v>309</v>
      </c>
      <c r="C12" t="s">
        <v>19</v>
      </c>
      <c r="D12" t="s">
        <v>29</v>
      </c>
      <c r="E12">
        <v>709.2</v>
      </c>
      <c r="F12">
        <v>0</v>
      </c>
      <c r="G12">
        <v>1.29</v>
      </c>
      <c r="H12">
        <v>-3.06</v>
      </c>
      <c r="I12" t="s">
        <v>16</v>
      </c>
      <c r="J12">
        <v>300.82</v>
      </c>
      <c r="K12" t="s">
        <v>16</v>
      </c>
      <c r="L12">
        <v>328.22</v>
      </c>
      <c r="M12" t="s">
        <v>16</v>
      </c>
      <c r="N12" t="s">
        <v>17</v>
      </c>
      <c r="P12" s="2">
        <f t="shared" si="0"/>
        <v>4655.4724800000004</v>
      </c>
    </row>
    <row r="13" spans="1:17" x14ac:dyDescent="0.25">
      <c r="A13">
        <v>1983</v>
      </c>
      <c r="B13">
        <v>309</v>
      </c>
      <c r="C13" t="s">
        <v>19</v>
      </c>
      <c r="D13" t="s">
        <v>30</v>
      </c>
      <c r="E13">
        <v>3885.5</v>
      </c>
      <c r="F13">
        <v>0</v>
      </c>
      <c r="G13">
        <v>7.09</v>
      </c>
      <c r="H13">
        <v>-12.29</v>
      </c>
      <c r="I13" t="s">
        <v>16</v>
      </c>
      <c r="J13">
        <v>315.5</v>
      </c>
      <c r="K13" t="s">
        <v>16</v>
      </c>
      <c r="L13">
        <v>334.22</v>
      </c>
      <c r="M13" t="s">
        <v>16</v>
      </c>
      <c r="N13" t="s">
        <v>17</v>
      </c>
      <c r="P13" s="2">
        <f t="shared" si="0"/>
        <v>25972.236199999999</v>
      </c>
    </row>
    <row r="14" spans="1:17" x14ac:dyDescent="0.25">
      <c r="A14">
        <v>1984</v>
      </c>
      <c r="B14">
        <v>309</v>
      </c>
      <c r="C14" t="s">
        <v>19</v>
      </c>
      <c r="D14" t="s">
        <v>31</v>
      </c>
      <c r="E14">
        <v>56</v>
      </c>
      <c r="F14">
        <v>0</v>
      </c>
      <c r="G14">
        <v>0.1</v>
      </c>
      <c r="H14">
        <v>13.87</v>
      </c>
      <c r="I14" t="s">
        <v>16</v>
      </c>
      <c r="J14">
        <v>55.42</v>
      </c>
      <c r="K14" t="s">
        <v>16</v>
      </c>
      <c r="L14">
        <v>45.8</v>
      </c>
      <c r="M14" t="s">
        <v>16</v>
      </c>
      <c r="N14" t="s">
        <v>17</v>
      </c>
      <c r="P14" s="2">
        <f t="shared" si="0"/>
        <v>51.295999999999999</v>
      </c>
    </row>
    <row r="15" spans="1:17" x14ac:dyDescent="0.25">
      <c r="A15">
        <v>1985</v>
      </c>
      <c r="B15">
        <v>309</v>
      </c>
      <c r="C15" t="s">
        <v>19</v>
      </c>
      <c r="D15" t="s">
        <v>32</v>
      </c>
      <c r="E15">
        <v>528.9</v>
      </c>
      <c r="F15">
        <v>0</v>
      </c>
      <c r="G15">
        <v>0.96</v>
      </c>
      <c r="H15">
        <v>24.19</v>
      </c>
      <c r="I15" t="s">
        <v>16</v>
      </c>
      <c r="J15">
        <v>301.94</v>
      </c>
      <c r="K15" t="s">
        <v>16</v>
      </c>
      <c r="L15">
        <v>359.49</v>
      </c>
      <c r="M15" t="s">
        <v>16</v>
      </c>
      <c r="N15" t="s">
        <v>17</v>
      </c>
      <c r="P15" s="2">
        <f t="shared" si="0"/>
        <v>3802.6852199999998</v>
      </c>
    </row>
    <row r="16" spans="1:17" x14ac:dyDescent="0.25">
      <c r="A16">
        <v>1986</v>
      </c>
      <c r="B16">
        <v>309</v>
      </c>
      <c r="C16" t="s">
        <v>33</v>
      </c>
      <c r="D16" t="s">
        <v>34</v>
      </c>
      <c r="E16">
        <v>1425.4</v>
      </c>
      <c r="F16">
        <v>0</v>
      </c>
      <c r="G16">
        <v>2.6</v>
      </c>
      <c r="H16">
        <v>13.21</v>
      </c>
      <c r="I16" t="s">
        <v>16</v>
      </c>
      <c r="J16">
        <v>160.36000000000001</v>
      </c>
      <c r="K16" t="s">
        <v>16</v>
      </c>
      <c r="L16">
        <v>191.32</v>
      </c>
      <c r="M16" t="s">
        <v>16</v>
      </c>
      <c r="N16" t="s">
        <v>17</v>
      </c>
      <c r="P16" s="2">
        <f t="shared" si="0"/>
        <v>5454.15056</v>
      </c>
    </row>
    <row r="17" spans="1:16" x14ac:dyDescent="0.25">
      <c r="A17">
        <v>1987</v>
      </c>
      <c r="B17">
        <v>309</v>
      </c>
      <c r="C17" t="s">
        <v>33</v>
      </c>
      <c r="D17" t="s">
        <v>35</v>
      </c>
      <c r="E17">
        <v>1219.0999999999999</v>
      </c>
      <c r="F17">
        <v>0</v>
      </c>
      <c r="G17">
        <v>2.2200000000000002</v>
      </c>
      <c r="H17">
        <v>14.46</v>
      </c>
      <c r="I17" t="s">
        <v>16</v>
      </c>
      <c r="J17">
        <v>154.16999999999999</v>
      </c>
      <c r="K17" t="s">
        <v>16</v>
      </c>
      <c r="L17">
        <v>185.88</v>
      </c>
      <c r="M17" t="s">
        <v>16</v>
      </c>
      <c r="N17" t="s">
        <v>17</v>
      </c>
      <c r="P17" s="2">
        <f t="shared" si="0"/>
        <v>4532.1261599999998</v>
      </c>
    </row>
    <row r="18" spans="1:16" x14ac:dyDescent="0.25">
      <c r="A18">
        <v>1988</v>
      </c>
      <c r="B18">
        <v>309</v>
      </c>
      <c r="C18" t="s">
        <v>33</v>
      </c>
      <c r="D18" t="s">
        <v>36</v>
      </c>
      <c r="E18">
        <v>1565.6</v>
      </c>
      <c r="F18">
        <v>0</v>
      </c>
      <c r="G18">
        <v>2.86</v>
      </c>
      <c r="H18">
        <v>33.909999999999997</v>
      </c>
      <c r="I18" t="s">
        <v>16</v>
      </c>
      <c r="J18">
        <v>168.16</v>
      </c>
      <c r="K18" t="s">
        <v>16</v>
      </c>
      <c r="L18">
        <v>222.74</v>
      </c>
      <c r="M18" t="s">
        <v>16</v>
      </c>
      <c r="N18" t="s">
        <v>17</v>
      </c>
      <c r="P18" s="2">
        <f t="shared" si="0"/>
        <v>6974.4348799999998</v>
      </c>
    </row>
    <row r="19" spans="1:16" x14ac:dyDescent="0.25">
      <c r="A19">
        <v>1989</v>
      </c>
      <c r="B19">
        <v>309</v>
      </c>
      <c r="C19" t="s">
        <v>33</v>
      </c>
      <c r="D19" t="s">
        <v>37</v>
      </c>
      <c r="E19">
        <v>1780</v>
      </c>
      <c r="F19">
        <v>0</v>
      </c>
      <c r="G19">
        <v>3.25</v>
      </c>
      <c r="H19">
        <v>40.86</v>
      </c>
      <c r="I19" t="s">
        <v>16</v>
      </c>
      <c r="J19">
        <v>167.61</v>
      </c>
      <c r="K19" t="s">
        <v>16</v>
      </c>
      <c r="L19">
        <v>229.79</v>
      </c>
      <c r="M19" t="s">
        <v>16</v>
      </c>
      <c r="N19" t="s">
        <v>17</v>
      </c>
      <c r="P19" s="2">
        <f t="shared" si="0"/>
        <v>8180.5240000000003</v>
      </c>
    </row>
    <row r="20" spans="1:16" x14ac:dyDescent="0.25">
      <c r="A20">
        <v>1990</v>
      </c>
      <c r="B20">
        <v>309</v>
      </c>
      <c r="C20" t="s">
        <v>38</v>
      </c>
      <c r="D20" t="s">
        <v>39</v>
      </c>
      <c r="E20">
        <v>1121.9000000000001</v>
      </c>
      <c r="F20">
        <v>0</v>
      </c>
      <c r="G20">
        <v>2.0499999999999998</v>
      </c>
      <c r="H20">
        <v>-25.66</v>
      </c>
      <c r="I20" t="s">
        <v>16</v>
      </c>
      <c r="J20">
        <v>269.98</v>
      </c>
      <c r="K20" t="s">
        <v>16</v>
      </c>
      <c r="L20">
        <v>269.32</v>
      </c>
      <c r="M20" t="s">
        <v>16</v>
      </c>
      <c r="N20" t="s">
        <v>17</v>
      </c>
      <c r="P20" s="2">
        <f t="shared" si="0"/>
        <v>6043.0021600000009</v>
      </c>
    </row>
    <row r="21" spans="1:16" x14ac:dyDescent="0.25">
      <c r="A21">
        <v>1991</v>
      </c>
      <c r="B21">
        <v>309</v>
      </c>
      <c r="C21" t="s">
        <v>19</v>
      </c>
      <c r="D21" t="s">
        <v>40</v>
      </c>
      <c r="E21">
        <v>31.1</v>
      </c>
      <c r="F21">
        <v>0</v>
      </c>
      <c r="G21">
        <v>0.06</v>
      </c>
      <c r="H21">
        <v>0</v>
      </c>
      <c r="I21" t="s">
        <v>16</v>
      </c>
      <c r="J21">
        <v>213.19</v>
      </c>
      <c r="K21" t="s">
        <v>16</v>
      </c>
      <c r="L21">
        <v>235</v>
      </c>
      <c r="M21" t="s">
        <v>16</v>
      </c>
      <c r="N21" t="s">
        <v>17</v>
      </c>
      <c r="P21" s="2">
        <f t="shared" si="0"/>
        <v>146.16999999999999</v>
      </c>
    </row>
    <row r="22" spans="1:16" x14ac:dyDescent="0.25">
      <c r="A22">
        <v>1992</v>
      </c>
      <c r="B22">
        <v>309</v>
      </c>
      <c r="C22" t="s">
        <v>41</v>
      </c>
      <c r="D22" t="s">
        <v>42</v>
      </c>
      <c r="E22">
        <v>6.1</v>
      </c>
      <c r="F22">
        <v>0</v>
      </c>
      <c r="G22">
        <v>0.01</v>
      </c>
      <c r="H22">
        <v>0</v>
      </c>
      <c r="I22" t="s">
        <v>16</v>
      </c>
      <c r="J22">
        <v>181.44</v>
      </c>
      <c r="K22" t="s">
        <v>16</v>
      </c>
      <c r="L22">
        <v>200</v>
      </c>
      <c r="M22" t="s">
        <v>16</v>
      </c>
      <c r="N22" t="s">
        <v>17</v>
      </c>
      <c r="P22" s="2">
        <f t="shared" si="0"/>
        <v>24.4</v>
      </c>
    </row>
    <row r="23" spans="1:16" x14ac:dyDescent="0.25">
      <c r="A23">
        <v>1993</v>
      </c>
      <c r="B23">
        <v>309</v>
      </c>
      <c r="C23" t="s">
        <v>23</v>
      </c>
      <c r="D23" t="s">
        <v>43</v>
      </c>
      <c r="E23">
        <v>37.1</v>
      </c>
      <c r="F23">
        <v>0</v>
      </c>
      <c r="G23">
        <v>7.0000000000000007E-2</v>
      </c>
      <c r="H23">
        <v>0</v>
      </c>
      <c r="I23" t="s">
        <v>16</v>
      </c>
      <c r="J23">
        <v>315.7</v>
      </c>
      <c r="K23" t="s">
        <v>16</v>
      </c>
      <c r="L23">
        <v>348</v>
      </c>
      <c r="M23" t="s">
        <v>16</v>
      </c>
      <c r="N23" t="s">
        <v>17</v>
      </c>
      <c r="P23" s="2">
        <f t="shared" si="0"/>
        <v>258.21600000000001</v>
      </c>
    </row>
    <row r="24" spans="1:16" x14ac:dyDescent="0.25">
      <c r="A24">
        <v>1994</v>
      </c>
      <c r="B24">
        <v>309</v>
      </c>
      <c r="C24" t="s">
        <v>19</v>
      </c>
      <c r="D24" t="s">
        <v>44</v>
      </c>
      <c r="E24">
        <v>1190</v>
      </c>
      <c r="F24">
        <v>0</v>
      </c>
      <c r="G24">
        <v>2.17</v>
      </c>
      <c r="H24">
        <v>0</v>
      </c>
      <c r="I24" t="s">
        <v>16</v>
      </c>
      <c r="J24">
        <v>213.56</v>
      </c>
      <c r="K24" t="s">
        <v>16</v>
      </c>
      <c r="L24">
        <v>235.4</v>
      </c>
      <c r="M24" t="s">
        <v>16</v>
      </c>
      <c r="N24" t="s">
        <v>17</v>
      </c>
      <c r="P24" s="2">
        <f t="shared" si="0"/>
        <v>5602.52</v>
      </c>
    </row>
    <row r="25" spans="1:16" x14ac:dyDescent="0.25">
      <c r="A25">
        <v>1995</v>
      </c>
      <c r="B25">
        <v>309</v>
      </c>
      <c r="C25" t="s">
        <v>41</v>
      </c>
      <c r="D25" t="s">
        <v>45</v>
      </c>
      <c r="E25">
        <v>5.0999999999999996</v>
      </c>
      <c r="F25">
        <v>0</v>
      </c>
      <c r="G25">
        <v>0.01</v>
      </c>
      <c r="H25">
        <v>0</v>
      </c>
      <c r="I25" t="s">
        <v>16</v>
      </c>
      <c r="J25">
        <v>326.58999999999997</v>
      </c>
      <c r="K25" t="s">
        <v>16</v>
      </c>
      <c r="L25">
        <v>360</v>
      </c>
      <c r="M25" t="s">
        <v>16</v>
      </c>
      <c r="N25" t="s">
        <v>17</v>
      </c>
      <c r="P25" s="2">
        <f t="shared" si="0"/>
        <v>36.72</v>
      </c>
    </row>
    <row r="26" spans="1:16" x14ac:dyDescent="0.25">
      <c r="A26">
        <v>1996</v>
      </c>
      <c r="B26">
        <v>309</v>
      </c>
      <c r="C26" t="s">
        <v>41</v>
      </c>
      <c r="D26" t="s">
        <v>46</v>
      </c>
      <c r="E26">
        <v>15.1</v>
      </c>
      <c r="F26">
        <v>0</v>
      </c>
      <c r="G26">
        <v>0.03</v>
      </c>
      <c r="H26">
        <v>0</v>
      </c>
      <c r="I26" t="s">
        <v>16</v>
      </c>
      <c r="J26">
        <v>303</v>
      </c>
      <c r="K26" t="s">
        <v>16</v>
      </c>
      <c r="L26">
        <v>334</v>
      </c>
      <c r="M26" t="s">
        <v>16</v>
      </c>
      <c r="N26" t="s">
        <v>17</v>
      </c>
      <c r="P26" s="2">
        <f t="shared" si="0"/>
        <v>100.86799999999999</v>
      </c>
    </row>
    <row r="27" spans="1:16" x14ac:dyDescent="0.25">
      <c r="A27">
        <v>1997</v>
      </c>
      <c r="B27">
        <v>309</v>
      </c>
      <c r="C27" t="s">
        <v>38</v>
      </c>
      <c r="D27" t="s">
        <v>47</v>
      </c>
      <c r="E27">
        <v>58.1</v>
      </c>
      <c r="F27">
        <v>0</v>
      </c>
      <c r="G27">
        <v>0.11</v>
      </c>
      <c r="H27">
        <v>0</v>
      </c>
      <c r="I27" t="s">
        <v>16</v>
      </c>
      <c r="J27">
        <v>243.13</v>
      </c>
      <c r="K27" t="s">
        <v>16</v>
      </c>
      <c r="L27">
        <v>268</v>
      </c>
      <c r="M27" t="s">
        <v>16</v>
      </c>
      <c r="N27" t="s">
        <v>17</v>
      </c>
      <c r="P27" s="2">
        <f t="shared" si="0"/>
        <v>311.416</v>
      </c>
    </row>
    <row r="28" spans="1:16" x14ac:dyDescent="0.25">
      <c r="A28">
        <v>1998</v>
      </c>
      <c r="B28">
        <v>309</v>
      </c>
      <c r="C28" t="s">
        <v>41</v>
      </c>
      <c r="D28" t="s">
        <v>48</v>
      </c>
      <c r="E28">
        <v>2180.6999999999998</v>
      </c>
      <c r="F28">
        <v>0</v>
      </c>
      <c r="G28">
        <v>3.98</v>
      </c>
      <c r="H28">
        <v>0</v>
      </c>
      <c r="I28" t="s">
        <v>16</v>
      </c>
      <c r="J28">
        <v>311.52999999999997</v>
      </c>
      <c r="K28" t="s">
        <v>16</v>
      </c>
      <c r="L28">
        <v>343.4</v>
      </c>
      <c r="M28" t="s">
        <v>16</v>
      </c>
      <c r="N28" t="s">
        <v>17</v>
      </c>
      <c r="P28" s="2">
        <f t="shared" si="0"/>
        <v>14977.047599999998</v>
      </c>
    </row>
    <row r="29" spans="1:16" x14ac:dyDescent="0.25">
      <c r="A29">
        <v>1999</v>
      </c>
      <c r="B29">
        <v>309</v>
      </c>
      <c r="C29" t="s">
        <v>41</v>
      </c>
      <c r="D29" t="s">
        <v>49</v>
      </c>
      <c r="E29">
        <v>26.1</v>
      </c>
      <c r="F29">
        <v>0</v>
      </c>
      <c r="G29">
        <v>0.05</v>
      </c>
      <c r="H29">
        <v>0</v>
      </c>
      <c r="I29" t="s">
        <v>16</v>
      </c>
      <c r="J29">
        <v>347.34</v>
      </c>
      <c r="K29" t="s">
        <v>16</v>
      </c>
      <c r="L29">
        <v>382.88</v>
      </c>
      <c r="M29" t="s">
        <v>16</v>
      </c>
      <c r="N29" t="s">
        <v>17</v>
      </c>
      <c r="P29" s="2">
        <f t="shared" si="0"/>
        <v>199.86336</v>
      </c>
    </row>
    <row r="30" spans="1:16" x14ac:dyDescent="0.25">
      <c r="A30">
        <v>2000</v>
      </c>
      <c r="B30">
        <v>309</v>
      </c>
      <c r="C30" t="s">
        <v>41</v>
      </c>
      <c r="D30" t="s">
        <v>50</v>
      </c>
      <c r="E30">
        <v>13.1</v>
      </c>
      <c r="F30">
        <v>0</v>
      </c>
      <c r="G30">
        <v>0.02</v>
      </c>
      <c r="H30">
        <v>150</v>
      </c>
      <c r="I30" t="s">
        <v>16</v>
      </c>
      <c r="J30">
        <v>308</v>
      </c>
      <c r="K30" t="s">
        <v>16</v>
      </c>
      <c r="L30">
        <v>505</v>
      </c>
      <c r="M30" t="s">
        <v>16</v>
      </c>
      <c r="N30" t="s">
        <v>17</v>
      </c>
      <c r="P30" s="2">
        <f t="shared" si="0"/>
        <v>132.31</v>
      </c>
    </row>
    <row r="31" spans="1:16" x14ac:dyDescent="0.25">
      <c r="A31">
        <v>2001</v>
      </c>
      <c r="B31">
        <v>309</v>
      </c>
      <c r="C31" t="s">
        <v>41</v>
      </c>
      <c r="D31" t="s">
        <v>51</v>
      </c>
      <c r="E31">
        <v>15.1</v>
      </c>
      <c r="F31">
        <v>0</v>
      </c>
      <c r="G31">
        <v>0.03</v>
      </c>
      <c r="H31">
        <v>0</v>
      </c>
      <c r="I31" t="s">
        <v>16</v>
      </c>
      <c r="J31">
        <v>381.02</v>
      </c>
      <c r="K31" t="s">
        <v>16</v>
      </c>
      <c r="L31">
        <v>420</v>
      </c>
      <c r="M31" t="s">
        <v>16</v>
      </c>
      <c r="N31" t="s">
        <v>17</v>
      </c>
      <c r="P31" s="2">
        <f t="shared" si="0"/>
        <v>126.83999999999999</v>
      </c>
    </row>
    <row r="32" spans="1:16" x14ac:dyDescent="0.25">
      <c r="A32">
        <v>2002</v>
      </c>
      <c r="B32">
        <v>309</v>
      </c>
      <c r="C32" t="s">
        <v>52</v>
      </c>
      <c r="D32" t="s">
        <v>53</v>
      </c>
      <c r="E32">
        <v>2.1</v>
      </c>
      <c r="F32">
        <v>0</v>
      </c>
      <c r="G32">
        <v>0</v>
      </c>
      <c r="H32">
        <v>0</v>
      </c>
      <c r="I32" t="s">
        <v>16</v>
      </c>
      <c r="J32">
        <v>291.20999999999998</v>
      </c>
      <c r="K32" t="s">
        <v>16</v>
      </c>
      <c r="L32">
        <v>321</v>
      </c>
      <c r="M32" t="s">
        <v>16</v>
      </c>
      <c r="N32" t="s">
        <v>17</v>
      </c>
      <c r="P32" s="2">
        <f t="shared" si="0"/>
        <v>13.482000000000001</v>
      </c>
    </row>
    <row r="33" spans="1:16" x14ac:dyDescent="0.25">
      <c r="A33">
        <v>2003</v>
      </c>
      <c r="B33">
        <v>309</v>
      </c>
      <c r="C33" t="s">
        <v>41</v>
      </c>
      <c r="D33" t="s">
        <v>54</v>
      </c>
      <c r="E33">
        <v>15.1</v>
      </c>
      <c r="F33">
        <v>0</v>
      </c>
      <c r="G33">
        <v>0.03</v>
      </c>
      <c r="H33">
        <v>0</v>
      </c>
      <c r="I33" t="s">
        <v>16</v>
      </c>
      <c r="J33">
        <v>322.95999999999998</v>
      </c>
      <c r="K33" t="s">
        <v>16</v>
      </c>
      <c r="L33">
        <v>356</v>
      </c>
      <c r="M33" t="s">
        <v>16</v>
      </c>
      <c r="N33" t="s">
        <v>17</v>
      </c>
      <c r="P33" s="2">
        <f t="shared" si="0"/>
        <v>107.512</v>
      </c>
    </row>
    <row r="34" spans="1:16" x14ac:dyDescent="0.25">
      <c r="A34">
        <v>2004</v>
      </c>
      <c r="B34">
        <v>309</v>
      </c>
      <c r="C34" t="s">
        <v>19</v>
      </c>
      <c r="D34" t="s">
        <v>55</v>
      </c>
      <c r="E34">
        <v>1172</v>
      </c>
      <c r="F34">
        <v>0</v>
      </c>
      <c r="G34">
        <v>2.14</v>
      </c>
      <c r="H34">
        <v>0</v>
      </c>
      <c r="I34" t="s">
        <v>16</v>
      </c>
      <c r="J34">
        <v>273.83</v>
      </c>
      <c r="K34" t="s">
        <v>16</v>
      </c>
      <c r="L34">
        <v>301.83999999999997</v>
      </c>
      <c r="M34" t="s">
        <v>16</v>
      </c>
      <c r="N34" t="s">
        <v>17</v>
      </c>
      <c r="P34" s="2">
        <f t="shared" si="0"/>
        <v>7075.1296000000002</v>
      </c>
    </row>
    <row r="35" spans="1:16" x14ac:dyDescent="0.25">
      <c r="A35">
        <v>2005</v>
      </c>
      <c r="B35">
        <v>309</v>
      </c>
      <c r="C35" t="s">
        <v>19</v>
      </c>
      <c r="D35" t="s">
        <v>56</v>
      </c>
      <c r="E35">
        <v>68.099999999999994</v>
      </c>
      <c r="F35">
        <v>0</v>
      </c>
      <c r="G35">
        <v>0.12</v>
      </c>
      <c r="H35">
        <v>0</v>
      </c>
      <c r="I35" t="s">
        <v>16</v>
      </c>
      <c r="J35">
        <v>293.45</v>
      </c>
      <c r="K35" t="s">
        <v>16</v>
      </c>
      <c r="L35">
        <v>323.47000000000003</v>
      </c>
      <c r="M35" t="s">
        <v>16</v>
      </c>
      <c r="N35" t="s">
        <v>17</v>
      </c>
      <c r="P35" s="2">
        <f t="shared" si="0"/>
        <v>440.56614000000002</v>
      </c>
    </row>
    <row r="36" spans="1:16" x14ac:dyDescent="0.25">
      <c r="A36">
        <v>2006</v>
      </c>
      <c r="B36">
        <v>309</v>
      </c>
      <c r="C36" t="s">
        <v>19</v>
      </c>
      <c r="D36" t="s">
        <v>57</v>
      </c>
      <c r="E36">
        <v>529.9</v>
      </c>
      <c r="F36">
        <v>0</v>
      </c>
      <c r="G36">
        <v>0.97</v>
      </c>
      <c r="H36">
        <v>0</v>
      </c>
      <c r="I36" t="s">
        <v>16</v>
      </c>
      <c r="J36">
        <v>195.73</v>
      </c>
      <c r="K36" t="s">
        <v>16</v>
      </c>
      <c r="L36">
        <v>215.75</v>
      </c>
      <c r="M36" t="s">
        <v>16</v>
      </c>
      <c r="N36" t="s">
        <v>17</v>
      </c>
      <c r="P36" s="2">
        <f t="shared" si="0"/>
        <v>2286.5184999999997</v>
      </c>
    </row>
    <row r="37" spans="1:16" x14ac:dyDescent="0.25">
      <c r="A37">
        <v>2007</v>
      </c>
      <c r="B37">
        <v>309</v>
      </c>
      <c r="C37" t="s">
        <v>19</v>
      </c>
      <c r="D37" t="s">
        <v>58</v>
      </c>
      <c r="E37">
        <v>1268</v>
      </c>
      <c r="F37">
        <v>0</v>
      </c>
      <c r="G37">
        <v>2.31</v>
      </c>
      <c r="H37">
        <v>-8.41</v>
      </c>
      <c r="I37" t="s">
        <v>16</v>
      </c>
      <c r="J37">
        <v>355.97</v>
      </c>
      <c r="K37" t="s">
        <v>16</v>
      </c>
      <c r="L37">
        <v>383.11</v>
      </c>
      <c r="M37" t="s">
        <v>16</v>
      </c>
      <c r="N37" t="s">
        <v>17</v>
      </c>
      <c r="P37" s="2">
        <f t="shared" si="0"/>
        <v>9715.6695999999993</v>
      </c>
    </row>
    <row r="38" spans="1:16" x14ac:dyDescent="0.25">
      <c r="A38">
        <v>2008</v>
      </c>
      <c r="B38">
        <v>309</v>
      </c>
      <c r="C38" t="s">
        <v>19</v>
      </c>
      <c r="D38" t="s">
        <v>59</v>
      </c>
      <c r="E38">
        <v>0</v>
      </c>
      <c r="F38">
        <v>88537.600000000006</v>
      </c>
      <c r="G38">
        <v>0</v>
      </c>
      <c r="H38" t="s">
        <v>16</v>
      </c>
      <c r="I38">
        <v>26.06</v>
      </c>
      <c r="J38" t="s">
        <v>16</v>
      </c>
      <c r="K38">
        <v>302.14</v>
      </c>
      <c r="L38" t="s">
        <v>16</v>
      </c>
      <c r="M38">
        <v>361.75</v>
      </c>
      <c r="N38" t="s">
        <v>17</v>
      </c>
    </row>
    <row r="43" spans="1:16" x14ac:dyDescent="0.25">
      <c r="J43" s="1">
        <f>P37</f>
        <v>9715.6695999999993</v>
      </c>
    </row>
    <row r="44" spans="1:16" x14ac:dyDescent="0.25">
      <c r="J44" s="1">
        <f>F38*(M38/50)</f>
        <v>640569.53600000008</v>
      </c>
    </row>
    <row r="46" spans="1:16" x14ac:dyDescent="0.25">
      <c r="J46" s="1">
        <f>J44-J43</f>
        <v>630853.86640000006</v>
      </c>
    </row>
    <row r="49" spans="5:5" x14ac:dyDescent="0.25">
      <c r="E49" t="e" cm="1">
        <f t="array" ref="E49">sun</f>
        <v>#NAME?</v>
      </c>
    </row>
  </sheetData>
  <autoFilter ref="A1:P1" xr:uid="{3A4CC0BC-AB7D-4F33-BEA7-59EF1844CF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Were</cp:lastModifiedBy>
  <dcterms:created xsi:type="dcterms:W3CDTF">2025-12-04T11:25:56Z</dcterms:created>
  <dcterms:modified xsi:type="dcterms:W3CDTF">2025-12-04T12:29:08Z</dcterms:modified>
</cp:coreProperties>
</file>